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_rs\Documents\Licenciatura Informatica\ISEP\1ano\2semestre\ProjetoIntegrador\lei-22-s2-1na-g074\docs\SprintB\"/>
    </mc:Choice>
  </mc:AlternateContent>
  <xr:revisionPtr revIDLastSave="0" documentId="13_ncr:1_{AC3DCB1D-5167-4AFE-B86A-67A70D330587}" xr6:coauthVersionLast="47" xr6:coauthVersionMax="47" xr10:uidLastSave="{00000000-0000-0000-0000-000000000000}"/>
  <bookViews>
    <workbookView xWindow="-108" yWindow="-108" windowWidth="23256" windowHeight="12576" tabRatio="500" firstSheet="1" activeTab="1" xr2:uid="{00000000-000D-0000-FFFF-FFFF00000000}"/>
  </bookViews>
  <sheets>
    <sheet name="Instructions" sheetId="1" r:id="rId1"/>
    <sheet name="Sprint B-Self&amp;PeerEvaluation" sheetId="2" r:id="rId2"/>
    <sheet name="Folha1" sheetId="3" r:id="rId3"/>
  </sheets>
  <definedNames>
    <definedName name="Evaluation">Table2[Evaluation]</definedName>
    <definedName name="ItemEval">Table2[ItemEval]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3" l="1"/>
  <c r="H9" i="3"/>
  <c r="I9" i="3"/>
  <c r="F9" i="3"/>
  <c r="K6" i="3"/>
  <c r="K7" i="3"/>
  <c r="K8" i="3"/>
  <c r="K5" i="3"/>
  <c r="H21" i="2"/>
  <c r="H22" i="2" s="1"/>
  <c r="O15" i="2"/>
  <c r="O16" i="2"/>
  <c r="O17" i="2"/>
  <c r="O18" i="2"/>
  <c r="O19" i="2"/>
  <c r="O20" i="2"/>
  <c r="O14" i="2"/>
  <c r="J21" i="2"/>
  <c r="J22" i="2" s="1"/>
  <c r="K21" i="2"/>
  <c r="K22" i="2" s="1"/>
  <c r="L21" i="2"/>
  <c r="L22" i="2" s="1"/>
  <c r="M21" i="2"/>
  <c r="N21" i="2"/>
  <c r="N22" i="2" s="1"/>
  <c r="I21" i="2"/>
  <c r="I22" i="2" s="1"/>
  <c r="N4" i="2"/>
  <c r="M4" i="2"/>
  <c r="L4" i="2"/>
  <c r="K4" i="2"/>
  <c r="J4" i="2"/>
  <c r="I4" i="2"/>
  <c r="M22" i="2"/>
  <c r="N13" i="2"/>
  <c r="M13" i="2"/>
  <c r="L13" i="2"/>
  <c r="K13" i="2"/>
  <c r="J13" i="2"/>
  <c r="I13" i="2"/>
  <c r="K9" i="3" l="1"/>
  <c r="O21" i="2"/>
  <c r="O22" i="2" s="1"/>
</calcChain>
</file>

<file path=xl/sharedStrings.xml><?xml version="1.0" encoding="utf-8"?>
<sst xmlns="http://schemas.openxmlformats.org/spreadsheetml/2006/main" count="126" uniqueCount="101">
  <si>
    <t>Evaluation</t>
  </si>
  <si>
    <t>ItemEval</t>
  </si>
  <si>
    <t xml:space="preserve">Poor </t>
  </si>
  <si>
    <t>How to use this file</t>
  </si>
  <si>
    <t>Enough</t>
  </si>
  <si>
    <t>Fair</t>
  </si>
  <si>
    <t>Change the name of the file replacing 1XX by the name of the class and replacing YY by the number of the team</t>
  </si>
  <si>
    <t>Good</t>
  </si>
  <si>
    <t>Fill only green cells</t>
  </si>
  <si>
    <t>Outstanding</t>
  </si>
  <si>
    <t>Indentify the name of the class and team number</t>
  </si>
  <si>
    <t>Fill Table 1 with the following values: 1. Indentify the number and name of each student/ team member; 2. Fill cells I5 to N10 with the following values: Poor, Enough, Fair, Good or Outstanding. Each student should fill one row of this table.</t>
  </si>
  <si>
    <t xml:space="preserve">Table 2 shows how each student evaluates the work developed by the team. Fill Table 2 with the following values: 0,1 ,2, 3, 4 or 5. Each student should fill one column of this table. </t>
  </si>
  <si>
    <t>LAPR2</t>
  </si>
  <si>
    <t xml:space="preserve">Table 1: Self-evaluation and Peer Evaluation </t>
  </si>
  <si>
    <t> </t>
  </si>
  <si>
    <t>Class:</t>
  </si>
  <si>
    <t>1NA</t>
  </si>
  <si>
    <t>Evaluation by Peer </t>
  </si>
  <si>
    <t>Team:</t>
  </si>
  <si>
    <t>G074 - WAGMI</t>
  </si>
  <si>
    <t>Student Number </t>
  </si>
  <si>
    <t>Name (First and Last name)</t>
  </si>
  <si>
    <t>1 </t>
  </si>
  <si>
    <t>Edgar Moreira</t>
  </si>
  <si>
    <t>2 </t>
  </si>
  <si>
    <t>Fernando Ribeiro</t>
  </si>
  <si>
    <t>Important: Students should only fill green cells.</t>
  </si>
  <si>
    <t>3 </t>
  </si>
  <si>
    <t>José Silva</t>
  </si>
  <si>
    <t>4 </t>
  </si>
  <si>
    <t>Pedro Gomes</t>
  </si>
  <si>
    <t>Márcio Fernandes</t>
  </si>
  <si>
    <t>studentNumber6</t>
  </si>
  <si>
    <t>studentName6</t>
  </si>
  <si>
    <t>Table 2: Project Evaluation Grid</t>
  </si>
  <si>
    <t>Each student should evaluate the work developed by the team during Sprint B.</t>
  </si>
  <si>
    <t>Item</t>
  </si>
  <si>
    <t>0</t>
  </si>
  <si>
    <t>1</t>
  </si>
  <si>
    <t>2</t>
  </si>
  <si>
    <t>3</t>
  </si>
  <si>
    <t>4</t>
  </si>
  <si>
    <t>5</t>
  </si>
  <si>
    <t>Weight</t>
  </si>
  <si>
    <t>Mean</t>
  </si>
  <si>
    <t>Agile, incremental and iterative work process </t>
  </si>
  <si>
    <t>There is no evidence of following a work process </t>
  </si>
  <si>
    <t>Little evidence of work process with coordination between the team </t>
  </si>
  <si>
    <t>Evidence of work process with coordination between the team but with coordination failures between members </t>
  </si>
  <si>
    <t>Use of project management tools (e.g., Trello) and some evidence of coordination </t>
  </si>
  <si>
    <t>Use of tools and evidence of coordination </t>
  </si>
  <si>
    <t>The students exceed expectations </t>
  </si>
  <si>
    <t>Task assignment and execution </t>
  </si>
  <si>
    <t>Tasks not assigned </t>
  </si>
  <si>
    <t>Tasks incorrectly assigned and not being executed </t>
  </si>
  <si>
    <t>Tasks incorrectly assigned but the students are executing </t>
  </si>
  <si>
    <t>Taks correctly assigned but the students are working less than expected </t>
  </si>
  <si>
    <t>Taks correctly assigned and the students are working as expected </t>
  </si>
  <si>
    <t>Control Version System (Bitbucket)</t>
  </si>
  <si>
    <t>Do not use</t>
  </si>
  <si>
    <t>Bitbucket repository with code but is not used</t>
  </si>
  <si>
    <t>Bitbucket repository with code and basic usage</t>
  </si>
  <si>
    <t>Frequent commits but the majority of the messages are not concise and meaningful</t>
  </si>
  <si>
    <t>Frequent commits with clear messages</t>
  </si>
  <si>
    <t>Fulfills Requirements </t>
  </si>
  <si>
    <t>No solution has been developed for the requirements </t>
  </si>
  <si>
    <t>Most of the requirements have not been met </t>
  </si>
  <si>
    <t>Most of the requirements were minimally fulfilled, although with some flaws </t>
  </si>
  <si>
    <t>All requirements have been met almost in their entirety </t>
  </si>
  <si>
    <t>All requirements have been met completely. </t>
  </si>
  <si>
    <t>Running the Application </t>
  </si>
  <si>
    <t>Application does not run </t>
  </si>
  <si>
    <t>Running using only the IDE </t>
  </si>
  <si>
    <t>Stand-alone console/graphical interface.  A large number of errors</t>
  </si>
  <si>
    <t>Stand-alone with console/graphical interface. Some errors in the graphical/console interface </t>
  </si>
  <si>
    <t xml:space="preserve">Stand-alone with console/graphical interface. There are no errors. </t>
  </si>
  <si>
    <t>Sprint Review/ Presentation </t>
  </si>
  <si>
    <t>Without any kind of preparation </t>
  </si>
  <si>
    <t>There was some preparation </t>
  </si>
  <si>
    <t>There was some preparation but with flaws in the demonstration data and the speech </t>
  </si>
  <si>
    <t>There was a good preparation but with flaws in the speech </t>
  </si>
  <si>
    <t>There was good preparation with no flaws in the demonstration data and the speech </t>
  </si>
  <si>
    <t>English Written Quality (of the use cases) </t>
  </si>
  <si>
    <t>In Portuguese </t>
  </si>
  <si>
    <t>Very poor </t>
  </si>
  <si>
    <t>Poor  </t>
  </si>
  <si>
    <t>Satisfactory </t>
  </si>
  <si>
    <t>Very Good </t>
  </si>
  <si>
    <t>Excellent </t>
  </si>
  <si>
    <t>Total</t>
  </si>
  <si>
    <t>Total (0-20)</t>
  </si>
  <si>
    <t>Edgar</t>
  </si>
  <si>
    <t>Jos</t>
  </si>
  <si>
    <t>Jo</t>
  </si>
  <si>
    <t>Pe</t>
  </si>
  <si>
    <t>F</t>
  </si>
  <si>
    <t>E</t>
  </si>
  <si>
    <t>Pedro</t>
  </si>
  <si>
    <t>Fern</t>
  </si>
  <si>
    <t>PPROG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</si>
</sst>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00"/>
      <name val="Calibri"/>
      <family val="2"/>
      <charset val="1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2F0D9"/>
        <bgColor rgb="FFDAE3F3"/>
      </patternFill>
    </fill>
    <fill>
      <patternFill patternType="solid">
        <fgColor rgb="FF4472C4"/>
        <bgColor rgb="FF666699"/>
      </patternFill>
    </fill>
    <fill>
      <patternFill patternType="solid">
        <fgColor rgb="FFFFD9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/>
    <xf numFmtId="0" fontId="0" fillId="7" borderId="1" xfId="0" applyFill="1" applyBorder="1"/>
    <xf numFmtId="0" fontId="0" fillId="8" borderId="5" xfId="0" applyFill="1" applyBorder="1"/>
    <xf numFmtId="9" fontId="0" fillId="8" borderId="5" xfId="0" applyNumberFormat="1" applyFill="1" applyBorder="1"/>
    <xf numFmtId="0" fontId="0" fillId="7" borderId="2" xfId="0" applyFill="1" applyBorder="1" applyAlignment="1">
      <alignment horizontal="center"/>
    </xf>
    <xf numFmtId="0" fontId="0" fillId="5" borderId="2" xfId="0" applyFill="1" applyBorder="1"/>
    <xf numFmtId="0" fontId="3" fillId="3" borderId="1" xfId="0" applyFont="1" applyFill="1" applyBorder="1" applyAlignment="1">
      <alignment horizontal="left" wrapText="1"/>
    </xf>
    <xf numFmtId="0" fontId="0" fillId="9" borderId="1" xfId="0" applyFill="1" applyBorder="1"/>
    <xf numFmtId="0" fontId="0" fillId="5" borderId="8" xfId="0" applyFill="1" applyBorder="1"/>
    <xf numFmtId="0" fontId="0" fillId="5" borderId="5" xfId="0" applyFill="1" applyBorder="1"/>
    <xf numFmtId="0" fontId="0" fillId="9" borderId="5" xfId="0" applyFill="1" applyBorder="1"/>
    <xf numFmtId="0" fontId="0" fillId="7" borderId="9" xfId="0" applyFill="1" applyBorder="1"/>
    <xf numFmtId="0" fontId="0" fillId="7" borderId="7" xfId="0" applyFill="1" applyBorder="1"/>
    <xf numFmtId="0" fontId="0" fillId="0" borderId="0" xfId="0" applyProtection="1">
      <protection hidden="1"/>
    </xf>
    <xf numFmtId="0" fontId="0" fillId="7" borderId="10" xfId="0" applyFill="1" applyBorder="1"/>
    <xf numFmtId="0" fontId="4" fillId="10" borderId="1" xfId="0" applyFont="1" applyFill="1" applyBorder="1"/>
    <xf numFmtId="0" fontId="4" fillId="10" borderId="5" xfId="0" applyFont="1" applyFill="1" applyBorder="1"/>
    <xf numFmtId="0" fontId="0" fillId="7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5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</cellXfs>
  <cellStyles count="1">
    <cellStyle name="Normal" xfId="0" builtinId="0"/>
  </cellStyles>
  <dxfs count="4">
    <dxf>
      <protection locked="1" hidden="1"/>
    </dxf>
    <dxf>
      <protection locked="1" hidden="1"/>
    </dxf>
    <dxf>
      <protection locked="1" hidden="1"/>
    </dxf>
    <dxf>
      <protection locked="1" hidden="1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4B702C-8CB6-4252-94DA-4027D51A35FE}" name="Table2" displayName="Table2" ref="F1:G7" totalsRowShown="0" headerRowDxfId="3" dataDxfId="2">
  <autoFilter ref="F1:G7" xr:uid="{0A7EA1E0-5D8B-4FF0-91EE-4D413A2C077B}"/>
  <tableColumns count="2">
    <tableColumn id="1" xr3:uid="{D31CF501-C2A6-4462-8661-4C464174D62A}" name="Evaluation" dataDxfId="1"/>
    <tableColumn id="2" xr3:uid="{634A711C-FD85-41CF-A178-E1A64F8F31A2}" name="ItemEval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Normal="100" workbookViewId="0">
      <selection activeCell="B9" sqref="B9"/>
    </sheetView>
  </sheetViews>
  <sheetFormatPr defaultColWidth="8.6640625" defaultRowHeight="14.4" x14ac:dyDescent="0.3"/>
  <cols>
    <col min="1" max="1" width="7.88671875" customWidth="1"/>
    <col min="2" max="2" width="90.44140625" style="1" customWidth="1"/>
    <col min="5" max="5" width="12.6640625" customWidth="1"/>
    <col min="6" max="6" width="12.44140625" style="26" hidden="1" customWidth="1"/>
    <col min="7" max="7" width="0" hidden="1" customWidth="1"/>
  </cols>
  <sheetData>
    <row r="1" spans="1:7" x14ac:dyDescent="0.3">
      <c r="F1" s="26" t="s">
        <v>0</v>
      </c>
      <c r="G1" s="26" t="s">
        <v>1</v>
      </c>
    </row>
    <row r="2" spans="1:7" x14ac:dyDescent="0.3">
      <c r="F2" s="26" t="s">
        <v>2</v>
      </c>
      <c r="G2" s="26">
        <v>0</v>
      </c>
    </row>
    <row r="3" spans="1:7" x14ac:dyDescent="0.3">
      <c r="B3" s="2" t="s">
        <v>3</v>
      </c>
      <c r="F3" s="26" t="s">
        <v>4</v>
      </c>
      <c r="G3" s="26">
        <v>1</v>
      </c>
    </row>
    <row r="4" spans="1:7" x14ac:dyDescent="0.3">
      <c r="F4" s="26" t="s">
        <v>5</v>
      </c>
      <c r="G4" s="26">
        <v>2</v>
      </c>
    </row>
    <row r="5" spans="1:7" ht="28.8" x14ac:dyDescent="0.3">
      <c r="A5">
        <v>1</v>
      </c>
      <c r="B5" s="3" t="s">
        <v>6</v>
      </c>
      <c r="F5" s="26" t="s">
        <v>7</v>
      </c>
      <c r="G5" s="26">
        <v>3</v>
      </c>
    </row>
    <row r="6" spans="1:7" x14ac:dyDescent="0.3">
      <c r="A6">
        <v>2</v>
      </c>
      <c r="B6" s="3" t="s">
        <v>8</v>
      </c>
      <c r="F6" s="26" t="s">
        <v>9</v>
      </c>
      <c r="G6" s="26">
        <v>4</v>
      </c>
    </row>
    <row r="7" spans="1:7" x14ac:dyDescent="0.3">
      <c r="A7">
        <v>3</v>
      </c>
      <c r="B7" s="3" t="s">
        <v>10</v>
      </c>
      <c r="G7" s="26">
        <v>5</v>
      </c>
    </row>
    <row r="8" spans="1:7" ht="43.2" x14ac:dyDescent="0.3">
      <c r="A8">
        <v>4</v>
      </c>
      <c r="B8" s="3" t="s">
        <v>11</v>
      </c>
    </row>
    <row r="9" spans="1:7" ht="28.8" x14ac:dyDescent="0.3">
      <c r="A9">
        <v>5</v>
      </c>
      <c r="B9" s="3" t="s">
        <v>12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O22"/>
  <sheetViews>
    <sheetView tabSelected="1" topLeftCell="D3" zoomScale="130" zoomScaleNormal="130" workbookViewId="0">
      <selection activeCell="P7" sqref="P7"/>
    </sheetView>
  </sheetViews>
  <sheetFormatPr defaultColWidth="8.6640625" defaultRowHeight="14.4" x14ac:dyDescent="0.3"/>
  <cols>
    <col min="1" max="1" width="20" style="4" customWidth="1"/>
    <col min="2" max="6" width="17.88671875" style="4" customWidth="1"/>
    <col min="7" max="7" width="22.33203125" style="4" customWidth="1"/>
    <col min="9" max="13" width="10.6640625" customWidth="1"/>
    <col min="14" max="14" width="14.33203125" customWidth="1"/>
    <col min="15" max="15" width="16.6640625" customWidth="1"/>
  </cols>
  <sheetData>
    <row r="1" spans="1:15" ht="18" x14ac:dyDescent="0.35">
      <c r="A1" s="5" t="s">
        <v>13</v>
      </c>
    </row>
    <row r="2" spans="1:15" ht="15" customHeight="1" x14ac:dyDescent="0.3">
      <c r="A2" s="6"/>
      <c r="E2" s="31" t="s">
        <v>14</v>
      </c>
      <c r="F2" s="31"/>
      <c r="G2" s="31"/>
      <c r="H2" t="s">
        <v>15</v>
      </c>
    </row>
    <row r="3" spans="1:15" ht="15" customHeight="1" x14ac:dyDescent="0.3">
      <c r="A3" s="19" t="s">
        <v>16</v>
      </c>
      <c r="B3" s="8" t="s">
        <v>17</v>
      </c>
      <c r="I3" s="36" t="s">
        <v>18</v>
      </c>
      <c r="J3" s="37"/>
      <c r="K3" s="37"/>
      <c r="L3" s="37"/>
      <c r="M3" s="37"/>
      <c r="N3" s="38"/>
    </row>
    <row r="4" spans="1:15" x14ac:dyDescent="0.3">
      <c r="A4" s="19" t="s">
        <v>19</v>
      </c>
      <c r="B4" s="8" t="s">
        <v>20</v>
      </c>
      <c r="E4" s="7"/>
      <c r="F4" s="7" t="s">
        <v>21</v>
      </c>
      <c r="G4" s="35" t="s">
        <v>22</v>
      </c>
      <c r="H4" s="35"/>
      <c r="I4" s="17">
        <f>F5</f>
        <v>1010100</v>
      </c>
      <c r="J4" s="17">
        <f>F6</f>
        <v>1060064</v>
      </c>
      <c r="K4" s="17">
        <f>F7</f>
        <v>1060568</v>
      </c>
      <c r="L4" s="17">
        <f>F8</f>
        <v>1060588</v>
      </c>
      <c r="M4" s="17">
        <f>F9</f>
        <v>1181464</v>
      </c>
      <c r="N4" s="17" t="str">
        <f>F10</f>
        <v>studentNumber6</v>
      </c>
    </row>
    <row r="5" spans="1:15" x14ac:dyDescent="0.3">
      <c r="E5" s="7" t="s">
        <v>23</v>
      </c>
      <c r="F5" s="8">
        <v>1010100</v>
      </c>
      <c r="G5" s="33" t="s">
        <v>24</v>
      </c>
      <c r="H5" s="34"/>
      <c r="I5" s="9" t="s">
        <v>7</v>
      </c>
      <c r="J5" s="9" t="s">
        <v>9</v>
      </c>
      <c r="K5" s="9" t="s">
        <v>9</v>
      </c>
      <c r="L5" s="9" t="s">
        <v>7</v>
      </c>
      <c r="M5" s="9" t="s">
        <v>2</v>
      </c>
      <c r="N5" s="9"/>
    </row>
    <row r="6" spans="1:15" x14ac:dyDescent="0.3">
      <c r="E6" s="7" t="s">
        <v>25</v>
      </c>
      <c r="F6" s="8">
        <v>1060064</v>
      </c>
      <c r="G6" s="33" t="s">
        <v>26</v>
      </c>
      <c r="H6" s="34"/>
      <c r="I6" s="9" t="s">
        <v>5</v>
      </c>
      <c r="J6" s="9" t="s">
        <v>5</v>
      </c>
      <c r="K6" s="9" t="s">
        <v>9</v>
      </c>
      <c r="L6" s="9" t="s">
        <v>7</v>
      </c>
      <c r="M6" s="9" t="s">
        <v>2</v>
      </c>
      <c r="N6" s="9"/>
    </row>
    <row r="7" spans="1:15" x14ac:dyDescent="0.3">
      <c r="A7" s="30" t="s">
        <v>27</v>
      </c>
      <c r="B7" s="30"/>
      <c r="C7" s="30"/>
      <c r="E7" s="7" t="s">
        <v>28</v>
      </c>
      <c r="F7" s="8">
        <v>1060568</v>
      </c>
      <c r="G7" s="33" t="s">
        <v>29</v>
      </c>
      <c r="H7" s="34"/>
      <c r="I7" s="9" t="s">
        <v>5</v>
      </c>
      <c r="J7" s="9" t="s">
        <v>7</v>
      </c>
      <c r="K7" s="9" t="s">
        <v>9</v>
      </c>
      <c r="L7" s="9" t="s">
        <v>7</v>
      </c>
      <c r="M7" s="9" t="s">
        <v>2</v>
      </c>
      <c r="N7" s="9"/>
    </row>
    <row r="8" spans="1:15" x14ac:dyDescent="0.3">
      <c r="E8" s="7" t="s">
        <v>30</v>
      </c>
      <c r="F8" s="8">
        <v>1060588</v>
      </c>
      <c r="G8" s="33" t="s">
        <v>31</v>
      </c>
      <c r="H8" s="34"/>
      <c r="I8" s="9" t="s">
        <v>7</v>
      </c>
      <c r="J8" s="9" t="s">
        <v>7</v>
      </c>
      <c r="K8" s="9" t="s">
        <v>9</v>
      </c>
      <c r="L8" s="9" t="s">
        <v>7</v>
      </c>
      <c r="M8" s="9" t="s">
        <v>2</v>
      </c>
      <c r="N8" s="9"/>
    </row>
    <row r="9" spans="1:15" x14ac:dyDescent="0.3">
      <c r="E9" s="7">
        <v>5</v>
      </c>
      <c r="F9" s="8">
        <v>1181464</v>
      </c>
      <c r="G9" s="33" t="s">
        <v>32</v>
      </c>
      <c r="H9" s="34"/>
      <c r="I9" s="9"/>
      <c r="J9" s="9"/>
      <c r="K9" s="9"/>
      <c r="L9" s="9"/>
      <c r="M9" s="9"/>
      <c r="N9" s="9"/>
    </row>
    <row r="10" spans="1:15" x14ac:dyDescent="0.3">
      <c r="E10" s="7">
        <v>6</v>
      </c>
      <c r="F10" s="8" t="s">
        <v>33</v>
      </c>
      <c r="G10" s="33" t="s">
        <v>34</v>
      </c>
      <c r="H10" s="34"/>
      <c r="I10" s="9"/>
      <c r="J10" s="9"/>
      <c r="K10" s="9"/>
      <c r="L10" s="9"/>
      <c r="M10" s="9"/>
      <c r="N10" s="9"/>
    </row>
    <row r="12" spans="1:15" x14ac:dyDescent="0.3">
      <c r="A12" s="32" t="s">
        <v>35</v>
      </c>
      <c r="B12" s="32"/>
      <c r="C12" s="32"/>
      <c r="I12" t="s">
        <v>36</v>
      </c>
    </row>
    <row r="13" spans="1:15" x14ac:dyDescent="0.3">
      <c r="A13" s="10" t="s">
        <v>37</v>
      </c>
      <c r="B13" s="10" t="s">
        <v>38</v>
      </c>
      <c r="C13" s="10" t="s">
        <v>39</v>
      </c>
      <c r="D13" s="10" t="s">
        <v>40</v>
      </c>
      <c r="E13" s="10" t="s">
        <v>41</v>
      </c>
      <c r="F13" s="10" t="s">
        <v>42</v>
      </c>
      <c r="G13" s="10" t="s">
        <v>43</v>
      </c>
      <c r="H13" s="15" t="s">
        <v>44</v>
      </c>
      <c r="I13" s="14">
        <f>F5</f>
        <v>1010100</v>
      </c>
      <c r="J13" s="14">
        <f>F6</f>
        <v>1060064</v>
      </c>
      <c r="K13" s="14">
        <f>F7</f>
        <v>1060568</v>
      </c>
      <c r="L13" s="14">
        <f>F8</f>
        <v>1060588</v>
      </c>
      <c r="M13" s="14">
        <f>F9</f>
        <v>1181464</v>
      </c>
      <c r="N13" s="14" t="str">
        <f>F10</f>
        <v>studentNumber6</v>
      </c>
      <c r="O13" s="24" t="s">
        <v>45</v>
      </c>
    </row>
    <row r="14" spans="1:15" ht="86.4" x14ac:dyDescent="0.3">
      <c r="A14" s="11" t="s">
        <v>46</v>
      </c>
      <c r="B14" s="12" t="s">
        <v>47</v>
      </c>
      <c r="C14" s="12" t="s">
        <v>48</v>
      </c>
      <c r="D14" s="12" t="s">
        <v>49</v>
      </c>
      <c r="E14" s="12" t="s">
        <v>50</v>
      </c>
      <c r="F14" s="12" t="s">
        <v>51</v>
      </c>
      <c r="G14" s="12" t="s">
        <v>52</v>
      </c>
      <c r="H14" s="16">
        <v>0.15</v>
      </c>
      <c r="I14" s="18">
        <v>4</v>
      </c>
      <c r="J14" s="18">
        <v>4</v>
      </c>
      <c r="K14" s="18">
        <v>3</v>
      </c>
      <c r="L14" s="18">
        <v>4</v>
      </c>
      <c r="M14" s="18"/>
      <c r="N14" s="21"/>
      <c r="O14" s="25">
        <f>SUM(I14:N14)/COUNTA((I14:N14))</f>
        <v>3.75</v>
      </c>
    </row>
    <row r="15" spans="1:15" ht="72" x14ac:dyDescent="0.3">
      <c r="A15" s="11" t="s">
        <v>53</v>
      </c>
      <c r="B15" s="12" t="s">
        <v>54</v>
      </c>
      <c r="C15" s="12" t="s">
        <v>55</v>
      </c>
      <c r="D15" s="12" t="s">
        <v>56</v>
      </c>
      <c r="E15" s="12" t="s">
        <v>57</v>
      </c>
      <c r="F15" s="12" t="s">
        <v>58</v>
      </c>
      <c r="G15" s="12" t="s">
        <v>52</v>
      </c>
      <c r="H15" s="16">
        <v>0.2</v>
      </c>
      <c r="I15" s="9">
        <v>4</v>
      </c>
      <c r="J15" s="9">
        <v>4</v>
      </c>
      <c r="K15" s="9">
        <v>4</v>
      </c>
      <c r="L15" s="9">
        <v>4</v>
      </c>
      <c r="M15" s="9"/>
      <c r="N15" s="22"/>
      <c r="O15" s="27">
        <f t="shared" ref="O15:O20" si="0">SUM(I15:N15)/COUNTA((I15:N15))</f>
        <v>4</v>
      </c>
    </row>
    <row r="16" spans="1:15" ht="72" x14ac:dyDescent="0.3">
      <c r="A16" s="11" t="s">
        <v>59</v>
      </c>
      <c r="B16" s="12" t="s">
        <v>60</v>
      </c>
      <c r="C16" s="12" t="s">
        <v>61</v>
      </c>
      <c r="D16" s="12" t="s">
        <v>62</v>
      </c>
      <c r="E16" s="12" t="s">
        <v>63</v>
      </c>
      <c r="F16" s="12" t="s">
        <v>64</v>
      </c>
      <c r="G16" s="12" t="s">
        <v>52</v>
      </c>
      <c r="H16" s="16">
        <v>0.1</v>
      </c>
      <c r="I16" s="9">
        <v>4</v>
      </c>
      <c r="J16" s="9">
        <v>4</v>
      </c>
      <c r="K16" s="9">
        <v>4</v>
      </c>
      <c r="L16" s="9">
        <v>4</v>
      </c>
      <c r="M16" s="9"/>
      <c r="N16" s="22"/>
      <c r="O16" s="27">
        <f t="shared" si="0"/>
        <v>4</v>
      </c>
    </row>
    <row r="17" spans="1:15" ht="57.6" x14ac:dyDescent="0.3">
      <c r="A17" s="11" t="s">
        <v>65</v>
      </c>
      <c r="B17" s="12" t="s">
        <v>66</v>
      </c>
      <c r="C17" s="12" t="s">
        <v>67</v>
      </c>
      <c r="D17" s="12" t="s">
        <v>68</v>
      </c>
      <c r="E17" s="12" t="s">
        <v>69</v>
      </c>
      <c r="F17" s="12" t="s">
        <v>70</v>
      </c>
      <c r="G17" s="12" t="s">
        <v>52</v>
      </c>
      <c r="H17" s="16">
        <v>0.3</v>
      </c>
      <c r="I17" s="9">
        <v>4</v>
      </c>
      <c r="J17" s="9">
        <v>4</v>
      </c>
      <c r="K17" s="9">
        <v>3</v>
      </c>
      <c r="L17" s="9">
        <v>4</v>
      </c>
      <c r="M17" s="9"/>
      <c r="N17" s="22"/>
      <c r="O17" s="27">
        <f t="shared" si="0"/>
        <v>3.75</v>
      </c>
    </row>
    <row r="18" spans="1:15" ht="86.4" x14ac:dyDescent="0.3">
      <c r="A18" s="11" t="s">
        <v>71</v>
      </c>
      <c r="B18" s="12" t="s">
        <v>72</v>
      </c>
      <c r="C18" s="12" t="s">
        <v>73</v>
      </c>
      <c r="D18" s="12" t="s">
        <v>74</v>
      </c>
      <c r="E18" s="12" t="s">
        <v>75</v>
      </c>
      <c r="F18" s="12" t="s">
        <v>76</v>
      </c>
      <c r="G18" s="12" t="s">
        <v>52</v>
      </c>
      <c r="H18" s="16">
        <v>0.15</v>
      </c>
      <c r="I18" s="9">
        <v>4</v>
      </c>
      <c r="J18" s="9">
        <v>4</v>
      </c>
      <c r="K18" s="9">
        <v>4</v>
      </c>
      <c r="L18" s="9">
        <v>4</v>
      </c>
      <c r="M18" s="9"/>
      <c r="N18" s="22"/>
      <c r="O18" s="27">
        <f t="shared" si="0"/>
        <v>4</v>
      </c>
    </row>
    <row r="19" spans="1:15" ht="72" x14ac:dyDescent="0.3">
      <c r="A19" s="11" t="s">
        <v>77</v>
      </c>
      <c r="B19" s="12" t="s">
        <v>78</v>
      </c>
      <c r="C19" s="12" t="s">
        <v>79</v>
      </c>
      <c r="D19" s="12" t="s">
        <v>80</v>
      </c>
      <c r="E19" s="12" t="s">
        <v>81</v>
      </c>
      <c r="F19" s="12" t="s">
        <v>82</v>
      </c>
      <c r="G19" s="12" t="s">
        <v>52</v>
      </c>
      <c r="H19" s="16">
        <v>0.05</v>
      </c>
      <c r="I19" s="28"/>
      <c r="J19" s="28"/>
      <c r="K19" s="28"/>
      <c r="L19" s="28"/>
      <c r="M19" s="28"/>
      <c r="N19" s="29"/>
      <c r="O19" s="27" t="e">
        <f t="shared" si="0"/>
        <v>#DIV/0!</v>
      </c>
    </row>
    <row r="20" spans="1:15" ht="28.8" x14ac:dyDescent="0.3">
      <c r="A20" s="11" t="s">
        <v>83</v>
      </c>
      <c r="B20" s="12" t="s">
        <v>84</v>
      </c>
      <c r="C20" s="12" t="s">
        <v>85</v>
      </c>
      <c r="D20" s="12" t="s">
        <v>86</v>
      </c>
      <c r="E20" s="12" t="s">
        <v>87</v>
      </c>
      <c r="F20" s="12" t="s">
        <v>88</v>
      </c>
      <c r="G20" s="12" t="s">
        <v>89</v>
      </c>
      <c r="H20" s="16">
        <v>0.05</v>
      </c>
      <c r="I20" s="9">
        <v>4</v>
      </c>
      <c r="J20" s="9">
        <v>4</v>
      </c>
      <c r="K20" s="9">
        <v>4</v>
      </c>
      <c r="L20" s="9">
        <v>4</v>
      </c>
      <c r="M20" s="9"/>
      <c r="N20" s="22"/>
      <c r="O20" s="27">
        <f t="shared" si="0"/>
        <v>4</v>
      </c>
    </row>
    <row r="21" spans="1:15" x14ac:dyDescent="0.3">
      <c r="A21" s="10" t="s">
        <v>90</v>
      </c>
      <c r="B21" s="13"/>
      <c r="C21" s="13"/>
      <c r="D21" s="13"/>
      <c r="E21" s="13"/>
      <c r="F21" s="13"/>
      <c r="G21" s="13"/>
      <c r="H21" s="15">
        <f>SUM(H14:H20)</f>
        <v>1</v>
      </c>
      <c r="I21" s="20">
        <f t="shared" ref="I21:O21" si="1">SUMPRODUCT($H$14:$H$20,I14:I20)</f>
        <v>3.8000000000000003</v>
      </c>
      <c r="J21" s="20">
        <f t="shared" si="1"/>
        <v>3.8000000000000003</v>
      </c>
      <c r="K21" s="20">
        <f t="shared" si="1"/>
        <v>3.35</v>
      </c>
      <c r="L21" s="20">
        <f t="shared" si="1"/>
        <v>3.8000000000000003</v>
      </c>
      <c r="M21" s="20">
        <f t="shared" si="1"/>
        <v>0</v>
      </c>
      <c r="N21" s="23">
        <f t="shared" si="1"/>
        <v>0</v>
      </c>
      <c r="O21" s="23" t="e">
        <f t="shared" si="1"/>
        <v>#DIV/0!</v>
      </c>
    </row>
    <row r="22" spans="1:15" x14ac:dyDescent="0.3">
      <c r="A22" s="10" t="s">
        <v>91</v>
      </c>
      <c r="B22" s="13"/>
      <c r="C22" s="13"/>
      <c r="D22" s="13"/>
      <c r="E22" s="13"/>
      <c r="F22" s="13"/>
      <c r="G22" s="13"/>
      <c r="H22" s="15">
        <f>H21*100</f>
        <v>100</v>
      </c>
      <c r="I22" s="20">
        <f>I21*4</f>
        <v>15.200000000000001</v>
      </c>
      <c r="J22" s="20">
        <f t="shared" ref="J22:O22" si="2">J21*4</f>
        <v>15.200000000000001</v>
      </c>
      <c r="K22" s="20">
        <f t="shared" si="2"/>
        <v>13.4</v>
      </c>
      <c r="L22" s="20">
        <f t="shared" si="2"/>
        <v>15.200000000000001</v>
      </c>
      <c r="M22" s="20">
        <f t="shared" si="2"/>
        <v>0</v>
      </c>
      <c r="N22" s="23">
        <f t="shared" si="2"/>
        <v>0</v>
      </c>
      <c r="O22" s="23" t="e">
        <f t="shared" si="2"/>
        <v>#DIV/0!</v>
      </c>
    </row>
  </sheetData>
  <mergeCells count="11">
    <mergeCell ref="I3:N3"/>
    <mergeCell ref="G5:H5"/>
    <mergeCell ref="G6:H6"/>
    <mergeCell ref="G7:H7"/>
    <mergeCell ref="G8:H8"/>
    <mergeCell ref="A7:C7"/>
    <mergeCell ref="E2:G2"/>
    <mergeCell ref="A12:C12"/>
    <mergeCell ref="G10:H10"/>
    <mergeCell ref="G4:H4"/>
    <mergeCell ref="G9:H9"/>
  </mergeCells>
  <dataValidations count="2">
    <dataValidation type="list" allowBlank="1" showInputMessage="1" showErrorMessage="1" sqref="I5:N10" xr:uid="{E4DCFDE3-6A8E-4513-9C00-C3946D31CB70}">
      <formula1>Evaluation</formula1>
    </dataValidation>
    <dataValidation type="list" allowBlank="1" showInputMessage="1" showErrorMessage="1" sqref="I14:N20" xr:uid="{C741F644-43BB-4C98-9919-29EE606F28DD}">
      <formula1>ItemEval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6EDB-86D1-4EB5-BBB1-F12C18AF868F}">
  <dimension ref="E2:K9"/>
  <sheetViews>
    <sheetView workbookViewId="0">
      <selection activeCell="F21" sqref="F21"/>
    </sheetView>
  </sheetViews>
  <sheetFormatPr defaultRowHeight="14.4" x14ac:dyDescent="0.3"/>
  <sheetData>
    <row r="2" spans="5:11" ht="15" thickBot="1" x14ac:dyDescent="0.35"/>
    <row r="3" spans="5:11" x14ac:dyDescent="0.3">
      <c r="E3" s="39" t="s">
        <v>100</v>
      </c>
      <c r="F3" s="40"/>
      <c r="G3" s="40"/>
      <c r="H3" s="40"/>
      <c r="I3" s="40"/>
      <c r="J3" s="40"/>
      <c r="K3" s="41"/>
    </row>
    <row r="4" spans="5:11" x14ac:dyDescent="0.3">
      <c r="E4" s="42"/>
      <c r="F4" s="43" t="s">
        <v>94</v>
      </c>
      <c r="G4" s="43" t="s">
        <v>95</v>
      </c>
      <c r="H4" s="43" t="s">
        <v>96</v>
      </c>
      <c r="I4" s="43" t="s">
        <v>97</v>
      </c>
      <c r="J4" s="43"/>
      <c r="K4" s="44"/>
    </row>
    <row r="5" spans="5:11" x14ac:dyDescent="0.3">
      <c r="E5" s="42" t="s">
        <v>93</v>
      </c>
      <c r="F5" s="43">
        <v>32.5</v>
      </c>
      <c r="G5" s="43">
        <v>25</v>
      </c>
      <c r="H5" s="43">
        <v>22.5</v>
      </c>
      <c r="I5" s="43">
        <v>20</v>
      </c>
      <c r="J5" s="43"/>
      <c r="K5" s="44">
        <f>SUM(F5:I5)</f>
        <v>100</v>
      </c>
    </row>
    <row r="6" spans="5:11" x14ac:dyDescent="0.3">
      <c r="E6" s="42" t="s">
        <v>92</v>
      </c>
      <c r="F6" s="43">
        <v>35</v>
      </c>
      <c r="G6" s="43">
        <v>25</v>
      </c>
      <c r="H6" s="43">
        <v>20</v>
      </c>
      <c r="I6" s="43">
        <v>20</v>
      </c>
      <c r="J6" s="43"/>
      <c r="K6" s="44">
        <f t="shared" ref="K6:K9" si="0">SUM(F6:I6)</f>
        <v>100</v>
      </c>
    </row>
    <row r="7" spans="5:11" x14ac:dyDescent="0.3">
      <c r="E7" s="42" t="s">
        <v>98</v>
      </c>
      <c r="F7" s="43">
        <v>32</v>
      </c>
      <c r="G7" s="43">
        <v>25</v>
      </c>
      <c r="H7" s="43">
        <v>22</v>
      </c>
      <c r="I7" s="43">
        <v>21</v>
      </c>
      <c r="J7" s="43"/>
      <c r="K7" s="44">
        <f t="shared" si="0"/>
        <v>100</v>
      </c>
    </row>
    <row r="8" spans="5:11" ht="15" thickBot="1" x14ac:dyDescent="0.35">
      <c r="E8" s="42" t="s">
        <v>99</v>
      </c>
      <c r="F8" s="43">
        <v>31</v>
      </c>
      <c r="G8" s="43">
        <v>25</v>
      </c>
      <c r="H8" s="43">
        <v>22</v>
      </c>
      <c r="I8" s="43">
        <v>22</v>
      </c>
      <c r="J8" s="43"/>
      <c r="K8" s="44">
        <f t="shared" si="0"/>
        <v>100</v>
      </c>
    </row>
    <row r="9" spans="5:11" ht="15" thickBot="1" x14ac:dyDescent="0.35">
      <c r="E9" s="45"/>
      <c r="F9" s="48">
        <f>SUM(F5:F8)/4</f>
        <v>32.625</v>
      </c>
      <c r="G9" s="49">
        <f t="shared" ref="G9:I9" si="1">SUM(G5:G8)/4</f>
        <v>25</v>
      </c>
      <c r="H9" s="49">
        <f t="shared" si="1"/>
        <v>21.625</v>
      </c>
      <c r="I9" s="50">
        <f t="shared" si="1"/>
        <v>20.75</v>
      </c>
      <c r="J9" s="46"/>
      <c r="K9" s="47">
        <f t="shared" si="0"/>
        <v>100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1D32F6E72DF94BB678574547ED1DBA" ma:contentTypeVersion="4" ma:contentTypeDescription="Create a new document." ma:contentTypeScope="" ma:versionID="131aab0c50c7fbf7c6ac03c148008aff">
  <xsd:schema xmlns:xsd="http://www.w3.org/2001/XMLSchema" xmlns:xs="http://www.w3.org/2001/XMLSchema" xmlns:p="http://schemas.microsoft.com/office/2006/metadata/properties" xmlns:ns2="258dd281-1785-4f9e-b5ac-829fd502ccac" targetNamespace="http://schemas.microsoft.com/office/2006/metadata/properties" ma:root="true" ma:fieldsID="5aa462630b35db611734998f49462e41" ns2:_="">
    <xsd:import namespace="258dd281-1785-4f9e-b5ac-829fd502c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dd281-1785-4f9e-b5ac-829fd502cc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D5D6B7-061B-4DA3-9A51-36AFE4C7D2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8dd281-1785-4f9e-b5ac-829fd502c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ED4729-D5DB-4352-BED7-1AD05DEC1DA5}">
  <ds:schemaRefs>
    <ds:schemaRef ds:uri="http://purl.org/dc/dcmitype/"/>
    <ds:schemaRef ds:uri="258dd281-1785-4f9e-b5ac-829fd502ccac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C5284F3-C348-490B-8278-ECDE9E8BF6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Instructions</vt:lpstr>
      <vt:lpstr>Sprint B-Self&amp;PeerEvaluation</vt:lpstr>
      <vt:lpstr>Folha1</vt:lpstr>
      <vt:lpstr>Evaluation</vt:lpstr>
      <vt:lpstr>ItemEval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Gandra de Sousa</dc:creator>
  <cp:keywords/>
  <dc:description/>
  <cp:lastModifiedBy>ze silva</cp:lastModifiedBy>
  <cp:revision>1</cp:revision>
  <dcterms:created xsi:type="dcterms:W3CDTF">2019-11-13T12:30:08Z</dcterms:created>
  <dcterms:modified xsi:type="dcterms:W3CDTF">2022-05-18T20:50:21Z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0x010100DB1D32F6E72DF94BB678574547ED1DBA</vt:lpwstr>
  </property>
</Properties>
</file>